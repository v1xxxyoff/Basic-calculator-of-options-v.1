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vano\OneDrive\Рабочий стол\"/>
    </mc:Choice>
  </mc:AlternateContent>
  <xr:revisionPtr revIDLastSave="0" documentId="13_ncr:1_{C6F0495E-9AE1-4ECC-B069-F8706A814629}" xr6:coauthVersionLast="47" xr6:coauthVersionMax="47" xr10:uidLastSave="{00000000-0000-0000-0000-000000000000}"/>
  <bookViews>
    <workbookView xWindow="5235" yWindow="1845" windowWidth="21075" windowHeight="12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6" i="1" l="1"/>
  <c r="Q36" i="1"/>
  <c r="Q35" i="1"/>
  <c r="R35" i="1"/>
  <c r="R36" i="1"/>
  <c r="R34" i="1"/>
  <c r="S34" i="1"/>
  <c r="S35" i="1"/>
  <c r="S36" i="1"/>
  <c r="S33" i="1"/>
  <c r="T33" i="1"/>
  <c r="T34" i="1"/>
  <c r="T35" i="1"/>
  <c r="T36" i="1"/>
  <c r="T32" i="1"/>
  <c r="U32" i="1"/>
  <c r="U33" i="1"/>
  <c r="U34" i="1"/>
  <c r="U35" i="1"/>
  <c r="U36" i="1"/>
  <c r="U31" i="1"/>
  <c r="V31" i="1"/>
  <c r="V32" i="1"/>
  <c r="V33" i="1"/>
  <c r="V34" i="1"/>
  <c r="V35" i="1"/>
  <c r="V36" i="1"/>
  <c r="V30" i="1"/>
  <c r="P26" i="1"/>
  <c r="Q26" i="1"/>
  <c r="Q25" i="1"/>
  <c r="R25" i="1"/>
  <c r="R26" i="1"/>
  <c r="R24" i="1"/>
  <c r="S24" i="1"/>
  <c r="S25" i="1"/>
  <c r="S26" i="1"/>
  <c r="S23" i="1"/>
  <c r="T23" i="1"/>
  <c r="T24" i="1"/>
  <c r="T25" i="1"/>
  <c r="T26" i="1"/>
  <c r="T22" i="1"/>
  <c r="U22" i="1"/>
  <c r="U23" i="1"/>
  <c r="U24" i="1"/>
  <c r="U25" i="1"/>
  <c r="U26" i="1"/>
  <c r="U21" i="1"/>
  <c r="P15" i="1"/>
  <c r="V20" i="1"/>
  <c r="V21" i="1"/>
  <c r="V22" i="1"/>
  <c r="V23" i="1"/>
  <c r="V24" i="1"/>
  <c r="V25" i="1"/>
  <c r="V26" i="1"/>
  <c r="T12" i="1"/>
  <c r="S13" i="1" s="1"/>
  <c r="U11" i="1"/>
  <c r="U12" i="1"/>
  <c r="T13" i="1" s="1"/>
  <c r="U13" i="1"/>
  <c r="U14" i="1"/>
  <c r="T15" i="1" s="1"/>
  <c r="U15" i="1"/>
  <c r="U10" i="1"/>
  <c r="T11" i="1" s="1"/>
  <c r="S12" i="1" s="1"/>
  <c r="V9" i="1"/>
  <c r="V10" i="1"/>
  <c r="V11" i="1"/>
  <c r="V12" i="1"/>
  <c r="V13" i="1"/>
  <c r="V14" i="1"/>
  <c r="V15" i="1"/>
  <c r="B39" i="1"/>
  <c r="H32" i="1"/>
  <c r="R13" i="1" l="1"/>
  <c r="T14" i="1"/>
  <c r="S15" i="1" s="1"/>
  <c r="S14" i="1" l="1"/>
  <c r="R15" i="1" l="1"/>
  <c r="R14" i="1"/>
  <c r="Q15" i="1" l="1"/>
  <c r="Q14" i="1"/>
  <c r="H37" i="1" l="1"/>
  <c r="E39" i="1"/>
  <c r="E37" i="1"/>
  <c r="D38" i="1" s="1"/>
  <c r="E38" i="1"/>
  <c r="D39" i="1" s="1"/>
  <c r="E36" i="1"/>
  <c r="D37" i="1" s="1"/>
  <c r="C38" i="1" s="1"/>
  <c r="I26" i="1"/>
  <c r="H26" i="1" s="1"/>
  <c r="H27" i="1"/>
  <c r="G28" i="1" s="1"/>
  <c r="F29" i="1" s="1"/>
  <c r="E30" i="1" s="1"/>
  <c r="I27" i="1"/>
  <c r="H28" i="1"/>
  <c r="G29" i="1" s="1"/>
  <c r="F30" i="1" s="1"/>
  <c r="I28" i="1"/>
  <c r="H29" i="1" s="1"/>
  <c r="G30" i="1" s="1"/>
  <c r="I29" i="1"/>
  <c r="H30" i="1"/>
  <c r="G31" i="1" s="1"/>
  <c r="I30" i="1"/>
  <c r="H31" i="1"/>
  <c r="I31" i="1"/>
  <c r="I32" i="1"/>
  <c r="I25" i="1"/>
  <c r="J25" i="1"/>
  <c r="J26" i="1"/>
  <c r="J27" i="1"/>
  <c r="J28" i="1"/>
  <c r="J29" i="1"/>
  <c r="J30" i="1"/>
  <c r="J31" i="1"/>
  <c r="J32" i="1"/>
  <c r="J24" i="1"/>
  <c r="K24" i="1"/>
  <c r="K25" i="1"/>
  <c r="K26" i="1"/>
  <c r="K27" i="1"/>
  <c r="K28" i="1"/>
  <c r="K29" i="1"/>
  <c r="K30" i="1"/>
  <c r="K31" i="1"/>
  <c r="K32" i="1"/>
  <c r="K23" i="1"/>
  <c r="L8" i="1"/>
  <c r="L9" i="1"/>
  <c r="K9" i="1"/>
  <c r="K10" i="1"/>
  <c r="L10" i="1"/>
  <c r="J10" i="1"/>
  <c r="J11" i="1"/>
  <c r="K11" i="1"/>
  <c r="L11" i="1"/>
  <c r="I11" i="1"/>
  <c r="I12" i="1"/>
  <c r="J12" i="1"/>
  <c r="K12" i="1"/>
  <c r="L12" i="1"/>
  <c r="H12" i="1"/>
  <c r="H13" i="1"/>
  <c r="I13" i="1"/>
  <c r="J13" i="1"/>
  <c r="K13" i="1"/>
  <c r="L13" i="1"/>
  <c r="G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E15" i="1"/>
  <c r="E17" i="1"/>
  <c r="F17" i="1"/>
  <c r="G17" i="1"/>
  <c r="H17" i="1"/>
  <c r="I17" i="1"/>
  <c r="J17" i="1"/>
  <c r="K17" i="1"/>
  <c r="L17" i="1"/>
  <c r="D17" i="1"/>
  <c r="E16" i="1"/>
  <c r="F16" i="1"/>
  <c r="G16" i="1"/>
  <c r="H16" i="1"/>
  <c r="I16" i="1"/>
  <c r="J16" i="1"/>
  <c r="K16" i="1"/>
  <c r="L16" i="1"/>
  <c r="D16" i="1"/>
  <c r="D18" i="1"/>
  <c r="E18" i="1"/>
  <c r="F18" i="1"/>
  <c r="G18" i="1"/>
  <c r="H18" i="1"/>
  <c r="I18" i="1"/>
  <c r="J18" i="1"/>
  <c r="K18" i="1"/>
  <c r="L18" i="1"/>
  <c r="C17" i="1"/>
  <c r="C18" i="1"/>
  <c r="B18" i="1"/>
  <c r="N3" i="1"/>
  <c r="M3" i="1"/>
  <c r="L3" i="1"/>
  <c r="K3" i="1"/>
  <c r="C39" i="1" l="1"/>
  <c r="D31" i="1"/>
  <c r="G27" i="1"/>
  <c r="F28" i="1" s="1"/>
  <c r="E29" i="1" s="1"/>
  <c r="D30" i="1" s="1"/>
  <c r="C31" i="1" s="1"/>
  <c r="F32" i="1"/>
  <c r="F31" i="1"/>
  <c r="G32" i="1"/>
  <c r="E31" i="1"/>
  <c r="E32" i="1" l="1"/>
  <c r="D32" i="1" s="1"/>
  <c r="C32" i="1" s="1"/>
  <c r="B32" i="1" s="1"/>
</calcChain>
</file>

<file path=xl/sharedStrings.xml><?xml version="1.0" encoding="utf-8"?>
<sst xmlns="http://schemas.openxmlformats.org/spreadsheetml/2006/main" count="26" uniqueCount="26">
  <si>
    <t>Переменные</t>
  </si>
  <si>
    <t>Значения</t>
  </si>
  <si>
    <t>n</t>
  </si>
  <si>
    <t>t</t>
  </si>
  <si>
    <t>k</t>
  </si>
  <si>
    <t>T</t>
  </si>
  <si>
    <t>s0</t>
  </si>
  <si>
    <t>r</t>
  </si>
  <si>
    <t>siqma</t>
  </si>
  <si>
    <t>u</t>
  </si>
  <si>
    <t>d</t>
  </si>
  <si>
    <t>p</t>
  </si>
  <si>
    <t>q</t>
  </si>
  <si>
    <t>E(80%)</t>
  </si>
  <si>
    <t>E(70%)</t>
  </si>
  <si>
    <t>Цена в процентах</t>
  </si>
  <si>
    <t>Бескуп. Облиг. ZCB10.</t>
  </si>
  <si>
    <t>Таблица по ZCBt ( t=4 )</t>
  </si>
  <si>
    <t>Форвард</t>
  </si>
  <si>
    <t>Фьючерс</t>
  </si>
  <si>
    <t>Е(70%)</t>
  </si>
  <si>
    <t>ТИП</t>
  </si>
  <si>
    <t>call</t>
  </si>
  <si>
    <t xml:space="preserve">5(1) </t>
  </si>
  <si>
    <t>Е(80%)</t>
  </si>
  <si>
    <t>5(2)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</si>
</sst>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b/>
      <sz val="2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2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9" fontId="0" fillId="4" borderId="7" xfId="0" applyNumberFormat="1" applyFill="1" applyBorder="1" applyAlignment="1">
      <alignment horizontal="center"/>
    </xf>
    <xf numFmtId="0" fontId="0" fillId="0" borderId="8" xfId="0" applyFill="1" applyBorder="1"/>
    <xf numFmtId="0" fontId="0" fillId="0" borderId="0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0" xfId="0" applyBorder="1"/>
    <xf numFmtId="9" fontId="0" fillId="0" borderId="0" xfId="0" applyNumberFormat="1"/>
    <xf numFmtId="0" fontId="5" fillId="0" borderId="8" xfId="0" applyFont="1" applyBorder="1" applyAlignment="1"/>
    <xf numFmtId="10" fontId="1" fillId="0" borderId="0" xfId="0" applyNumberFormat="1" applyFont="1" applyBorder="1"/>
    <xf numFmtId="10" fontId="1" fillId="0" borderId="0" xfId="0" applyNumberFormat="1" applyFont="1" applyFill="1" applyBorder="1"/>
    <xf numFmtId="10" fontId="1" fillId="0" borderId="8" xfId="0" applyNumberFormat="1" applyFont="1" applyBorder="1"/>
    <xf numFmtId="10" fontId="1" fillId="0" borderId="8" xfId="0" applyNumberFormat="1" applyFont="1" applyFill="1" applyBorder="1"/>
    <xf numFmtId="10" fontId="2" fillId="0" borderId="2" xfId="0" applyNumberFormat="1" applyFont="1" applyBorder="1"/>
    <xf numFmtId="10" fontId="2" fillId="0" borderId="2" xfId="0" applyNumberFormat="1" applyFont="1" applyFill="1" applyBorder="1"/>
    <xf numFmtId="10" fontId="2" fillId="5" borderId="3" xfId="0" applyNumberFormat="1" applyFont="1" applyFill="1" applyBorder="1"/>
    <xf numFmtId="10" fontId="2" fillId="0" borderId="0" xfId="0" applyNumberFormat="1" applyFont="1" applyBorder="1"/>
    <xf numFmtId="10" fontId="2" fillId="0" borderId="0" xfId="0" applyNumberFormat="1" applyFont="1" applyFill="1" applyBorder="1"/>
    <xf numFmtId="10" fontId="2" fillId="5" borderId="0" xfId="0" applyNumberFormat="1" applyFont="1" applyFill="1" applyBorder="1"/>
    <xf numFmtId="10" fontId="2" fillId="5" borderId="9" xfId="0" applyNumberFormat="1" applyFont="1" applyFill="1" applyBorder="1"/>
    <xf numFmtId="10" fontId="2" fillId="5" borderId="5" xfId="0" applyNumberFormat="1" applyFont="1" applyFill="1" applyBorder="1"/>
    <xf numFmtId="10" fontId="2" fillId="5" borderId="6" xfId="0" applyNumberFormat="1" applyFont="1" applyFill="1" applyBorder="1"/>
    <xf numFmtId="10" fontId="2" fillId="0" borderId="8" xfId="0" applyNumberFormat="1" applyFont="1" applyFill="1" applyBorder="1"/>
    <xf numFmtId="10" fontId="2" fillId="5" borderId="4" xfId="0" applyNumberFormat="1" applyFont="1" applyFill="1" applyBorder="1"/>
    <xf numFmtId="0" fontId="2" fillId="0" borderId="2" xfId="0" applyFont="1" applyFill="1" applyBorder="1"/>
    <xf numFmtId="10" fontId="2" fillId="5" borderId="15" xfId="0" applyNumberFormat="1" applyFont="1" applyFill="1" applyBorder="1"/>
    <xf numFmtId="0" fontId="2" fillId="0" borderId="0" xfId="0" applyFont="1" applyFill="1" applyBorder="1"/>
    <xf numFmtId="10" fontId="2" fillId="5" borderId="12" xfId="0" applyNumberFormat="1" applyFont="1" applyFill="1" applyBorder="1"/>
    <xf numFmtId="0" fontId="2" fillId="0" borderId="14" xfId="0" applyFont="1" applyFill="1" applyBorder="1"/>
    <xf numFmtId="10" fontId="2" fillId="5" borderId="13" xfId="0" applyNumberFormat="1" applyFont="1" applyFill="1" applyBorder="1"/>
    <xf numFmtId="0" fontId="2" fillId="0" borderId="8" xfId="0" applyFont="1" applyFill="1" applyBorder="1"/>
    <xf numFmtId="0" fontId="2" fillId="0" borderId="11" xfId="0" applyFont="1" applyFill="1" applyBorder="1"/>
    <xf numFmtId="10" fontId="2" fillId="5" borderId="10" xfId="0" applyNumberFormat="1" applyFont="1" applyFill="1" applyBorder="1"/>
    <xf numFmtId="0" fontId="3" fillId="5" borderId="2" xfId="0" applyFont="1" applyFill="1" applyBorder="1"/>
    <xf numFmtId="9" fontId="3" fillId="5" borderId="3" xfId="0" applyNumberFormat="1" applyFont="1" applyFill="1" applyBorder="1"/>
    <xf numFmtId="10" fontId="3" fillId="5" borderId="0" xfId="0" applyNumberFormat="1" applyFont="1" applyFill="1" applyBorder="1"/>
    <xf numFmtId="9" fontId="3" fillId="5" borderId="9" xfId="0" applyNumberFormat="1" applyFont="1" applyFill="1" applyBorder="1"/>
    <xf numFmtId="10" fontId="3" fillId="5" borderId="8" xfId="0" applyNumberFormat="1" applyFont="1" applyFill="1" applyBorder="1"/>
    <xf numFmtId="10" fontId="3" fillId="5" borderId="4" xfId="0" applyNumberFormat="1" applyFont="1" applyFill="1" applyBorder="1"/>
    <xf numFmtId="10" fontId="3" fillId="5" borderId="5" xfId="0" applyNumberFormat="1" applyFont="1" applyFill="1" applyBorder="1"/>
    <xf numFmtId="9" fontId="3" fillId="5" borderId="6" xfId="0" applyNumberFormat="1" applyFont="1" applyFill="1" applyBorder="1"/>
    <xf numFmtId="0" fontId="4" fillId="0" borderId="0" xfId="0" applyFont="1" applyAlignment="1"/>
    <xf numFmtId="0" fontId="0" fillId="0" borderId="2" xfId="0" applyBorder="1"/>
    <xf numFmtId="10" fontId="0" fillId="0" borderId="3" xfId="0" applyNumberFormat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10" fontId="2" fillId="0" borderId="8" xfId="0" applyNumberFormat="1" applyFont="1" applyBorder="1"/>
    <xf numFmtId="10" fontId="2" fillId="5" borderId="8" xfId="0" applyNumberFormat="1" applyFont="1" applyFill="1" applyBorder="1"/>
    <xf numFmtId="0" fontId="0" fillId="4" borderId="7" xfId="0" applyFill="1" applyBorder="1"/>
    <xf numFmtId="0" fontId="0" fillId="0" borderId="3" xfId="0" applyBorder="1"/>
    <xf numFmtId="0" fontId="10" fillId="3" borderId="16" xfId="0" applyFont="1" applyFill="1" applyBorder="1"/>
    <xf numFmtId="0" fontId="10" fillId="3" borderId="17" xfId="0" applyFont="1" applyFill="1" applyBorder="1"/>
    <xf numFmtId="0" fontId="10" fillId="3" borderId="18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10" fontId="4" fillId="7" borderId="16" xfId="0" applyNumberFormat="1" applyFont="1" applyFill="1" applyBorder="1" applyAlignment="1">
      <alignment horizontal="center"/>
    </xf>
    <xf numFmtId="10" fontId="4" fillId="7" borderId="18" xfId="0" applyNumberFormat="1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2" xfId="0" applyNumberFormat="1" applyFont="1" applyBorder="1" applyAlignment="1">
      <alignment horizontal="center"/>
    </xf>
    <xf numFmtId="0" fontId="7" fillId="0" borderId="8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0" fontId="9" fillId="0" borderId="1" xfId="0" applyNumberFormat="1" applyFont="1" applyBorder="1" applyAlignment="1">
      <alignment horizontal="center"/>
    </xf>
    <xf numFmtId="10" fontId="9" fillId="0" borderId="2" xfId="0" applyNumberFormat="1" applyFont="1" applyBorder="1" applyAlignment="1">
      <alignment horizontal="center"/>
    </xf>
    <xf numFmtId="10" fontId="9" fillId="0" borderId="8" xfId="0" applyNumberFormat="1" applyFont="1" applyBorder="1" applyAlignment="1">
      <alignment horizontal="center"/>
    </xf>
    <xf numFmtId="10" fontId="9" fillId="0" borderId="0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5"/>
  <sheetViews>
    <sheetView tabSelected="1" topLeftCell="A19" zoomScale="85" zoomScaleNormal="85" workbookViewId="0">
      <selection activeCell="V40" sqref="V40"/>
    </sheetView>
  </sheetViews>
  <sheetFormatPr defaultRowHeight="15" x14ac:dyDescent="0.25"/>
  <cols>
    <col min="8" max="8" width="9.7109375" bestFit="1" customWidth="1"/>
  </cols>
  <sheetData>
    <row r="2" spans="2:22" x14ac:dyDescent="0.25">
      <c r="B2" s="71" t="s">
        <v>0</v>
      </c>
      <c r="C2" s="71"/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14</v>
      </c>
      <c r="P2" s="1" t="s">
        <v>13</v>
      </c>
      <c r="Q2" s="1" t="s">
        <v>21</v>
      </c>
    </row>
    <row r="3" spans="2:22" x14ac:dyDescent="0.25">
      <c r="B3" s="72" t="s">
        <v>1</v>
      </c>
      <c r="C3" s="72"/>
      <c r="D3" s="2">
        <v>10</v>
      </c>
      <c r="E3" s="2">
        <v>4</v>
      </c>
      <c r="F3" s="2">
        <v>6</v>
      </c>
      <c r="G3" s="2">
        <v>10</v>
      </c>
      <c r="H3" s="2">
        <v>100</v>
      </c>
      <c r="I3" s="3">
        <v>0.05</v>
      </c>
      <c r="J3" s="2">
        <v>0.1</v>
      </c>
      <c r="K3" s="2">
        <f>EXP($J$3*SQRT($G$3/$D$3))</f>
        <v>1.1051709180756477</v>
      </c>
      <c r="L3" s="2">
        <f>1/K3</f>
        <v>0.90483741803595952</v>
      </c>
      <c r="M3" s="2">
        <f>(EXP($I$3*$G$3/$D$3)-$L$3)/($K$3-$L$3)</f>
        <v>0.7309495332086472</v>
      </c>
      <c r="N3" s="2">
        <f>1-M3</f>
        <v>0.2690504667913528</v>
      </c>
      <c r="O3" s="3">
        <v>0.7</v>
      </c>
      <c r="P3" s="3">
        <v>0.8</v>
      </c>
      <c r="Q3" s="52" t="s">
        <v>22</v>
      </c>
    </row>
    <row r="6" spans="2:22" ht="15.75" thickBot="1" x14ac:dyDescent="0.3"/>
    <row r="7" spans="2:22" ht="19.5" thickBot="1" x14ac:dyDescent="0.35">
      <c r="E7" s="73" t="s">
        <v>15</v>
      </c>
      <c r="F7" s="74"/>
      <c r="G7" s="74"/>
      <c r="H7" s="75"/>
      <c r="R7" s="97" t="s">
        <v>19</v>
      </c>
      <c r="S7" s="98"/>
      <c r="T7" s="99"/>
      <c r="U7" s="44"/>
      <c r="V7" s="44"/>
    </row>
    <row r="8" spans="2:22" x14ac:dyDescent="0.25">
      <c r="B8" s="82">
        <v>1</v>
      </c>
      <c r="C8" s="83"/>
      <c r="D8" s="27"/>
      <c r="E8" s="27"/>
      <c r="F8" s="27"/>
      <c r="G8" s="27"/>
      <c r="H8" s="27"/>
      <c r="I8" s="27"/>
      <c r="J8" s="27"/>
      <c r="K8" s="27"/>
      <c r="L8" s="28">
        <f>$I$3*POWER($K$3,$L$19)*POWER($L$3,B$19)</f>
        <v>0.13591409142295241</v>
      </c>
      <c r="P8" s="100">
        <v>4</v>
      </c>
      <c r="Q8" s="101"/>
      <c r="R8" s="45"/>
      <c r="S8" s="45"/>
      <c r="T8" s="45"/>
      <c r="U8" s="45"/>
      <c r="V8" s="46"/>
    </row>
    <row r="9" spans="2:22" x14ac:dyDescent="0.25">
      <c r="B9" s="84"/>
      <c r="C9" s="85"/>
      <c r="D9" s="29"/>
      <c r="E9" s="29"/>
      <c r="F9" s="29"/>
      <c r="G9" s="29"/>
      <c r="H9" s="29"/>
      <c r="I9" s="29"/>
      <c r="J9" s="29"/>
      <c r="K9" s="30">
        <f>$I$3*POWER($K$3,$K$19)*POWER($L$3,B$19)</f>
        <v>0.12298015555784761</v>
      </c>
      <c r="L9" s="22">
        <f>$I$3*POWER($K$3,$K$19)*POWER($L$3,C$19)</f>
        <v>0.11127704642462349</v>
      </c>
      <c r="P9" s="102"/>
      <c r="Q9" s="103"/>
      <c r="R9" s="19"/>
      <c r="S9" s="19"/>
      <c r="T9" s="20"/>
      <c r="U9" s="20"/>
      <c r="V9" s="22">
        <f t="shared" ref="V9:V15" si="0">H26</f>
        <v>0.68757483087384619</v>
      </c>
    </row>
    <row r="10" spans="2:22" x14ac:dyDescent="0.25">
      <c r="B10" s="84"/>
      <c r="C10" s="85"/>
      <c r="D10" s="29"/>
      <c r="E10" s="29"/>
      <c r="F10" s="29"/>
      <c r="G10" s="29"/>
      <c r="H10" s="29"/>
      <c r="I10" s="31"/>
      <c r="J10" s="30">
        <f>$I$3*POWER($K$3,$J$19)*POWER($L$3,B$19)</f>
        <v>0.11127704642462349</v>
      </c>
      <c r="K10" s="21">
        <f t="shared" ref="K10:L10" si="1">$I$3*POWER($K$3,$J$19)*POWER($L$3,C$19)</f>
        <v>0.10068763537352392</v>
      </c>
      <c r="L10" s="22">
        <f t="shared" si="1"/>
        <v>9.110594001952553E-2</v>
      </c>
      <c r="P10" s="102"/>
      <c r="Q10" s="103"/>
      <c r="R10" s="19"/>
      <c r="S10" s="19"/>
      <c r="T10" s="20"/>
      <c r="U10" s="21">
        <f>$M$3*V9+$N$3*V10</f>
        <v>0.7000491753070941</v>
      </c>
      <c r="V10" s="22">
        <f t="shared" si="0"/>
        <v>0.73393916014639793</v>
      </c>
    </row>
    <row r="11" spans="2:22" x14ac:dyDescent="0.25">
      <c r="B11" s="84"/>
      <c r="C11" s="85"/>
      <c r="D11" s="29"/>
      <c r="E11" s="29"/>
      <c r="F11" s="29"/>
      <c r="G11" s="29"/>
      <c r="H11" s="29"/>
      <c r="I11" s="30">
        <f>$I$3*POWER($K$3,$I$19)*POWER($L$3,B$19)</f>
        <v>0.1006876353735239</v>
      </c>
      <c r="J11" s="21">
        <f t="shared" ref="J11:L11" si="2">$I$3*POWER($K$3,$I$19)*POWER($L$3,C$19)</f>
        <v>9.1105940019525516E-2</v>
      </c>
      <c r="K11" s="21">
        <f t="shared" si="2"/>
        <v>8.243606353500646E-2</v>
      </c>
      <c r="L11" s="22">
        <f t="shared" si="2"/>
        <v>7.4591234882063553E-2</v>
      </c>
      <c r="P11" s="25"/>
      <c r="Q11" s="20"/>
      <c r="R11" s="20"/>
      <c r="S11" s="20"/>
      <c r="T11" s="21">
        <f t="shared" ref="T11:U15" si="3">$M$3*U10+$N$3*U11</f>
        <v>0.71212970077745985</v>
      </c>
      <c r="U11" s="21">
        <f t="shared" si="3"/>
        <v>0.74494976817517566</v>
      </c>
      <c r="V11" s="22">
        <f t="shared" si="0"/>
        <v>0.77486311080921699</v>
      </c>
    </row>
    <row r="12" spans="2:22" x14ac:dyDescent="0.25">
      <c r="B12" s="4"/>
      <c r="C12" s="5"/>
      <c r="D12" s="29"/>
      <c r="E12" s="29"/>
      <c r="F12" s="29"/>
      <c r="G12" s="29"/>
      <c r="H12" s="30">
        <f>$I$3*POWER($K$3,$H$19)*POWER($L$3,B$19)</f>
        <v>9.1105940019525516E-2</v>
      </c>
      <c r="I12" s="21">
        <f t="shared" ref="I12:L12" si="4">$I$3*POWER($K$3,$H$19)*POWER($L$3,C$19)</f>
        <v>8.243606353500646E-2</v>
      </c>
      <c r="J12" s="21">
        <f t="shared" si="4"/>
        <v>7.4591234882063553E-2</v>
      </c>
      <c r="K12" s="21">
        <f t="shared" si="4"/>
        <v>6.7492940378800187E-2</v>
      </c>
      <c r="L12" s="22">
        <f t="shared" si="4"/>
        <v>6.1070137908008519E-2</v>
      </c>
      <c r="P12" s="25"/>
      <c r="Q12" s="20"/>
      <c r="R12" s="20"/>
      <c r="S12" s="21">
        <f t="shared" ref="S12:T12" si="5">$M$3*T11+$N$3*T12</f>
        <v>0.72381994539617478</v>
      </c>
      <c r="T12" s="21">
        <f t="shared" si="5"/>
        <v>0.75557970760380222</v>
      </c>
      <c r="U12" s="21">
        <f t="shared" si="3"/>
        <v>0.78445885937058302</v>
      </c>
      <c r="V12" s="22">
        <f t="shared" si="0"/>
        <v>0.8105283474311904</v>
      </c>
    </row>
    <row r="13" spans="2:22" x14ac:dyDescent="0.25">
      <c r="B13" s="4"/>
      <c r="C13" s="5"/>
      <c r="D13" s="29"/>
      <c r="E13" s="29"/>
      <c r="F13" s="29"/>
      <c r="G13" s="30">
        <f>$I$3*POWER($K$3,$G$19)*POWER($L$3,B$19)</f>
        <v>8.243606353500646E-2</v>
      </c>
      <c r="H13" s="21">
        <f t="shared" ref="H13:L13" si="6">$I$3*POWER($K$3,$G$19)*POWER($L$3,C$19)</f>
        <v>7.4591234882063553E-2</v>
      </c>
      <c r="I13" s="21">
        <f t="shared" si="6"/>
        <v>6.7492940378800187E-2</v>
      </c>
      <c r="J13" s="21">
        <f t="shared" si="6"/>
        <v>6.1070137908008512E-2</v>
      </c>
      <c r="K13" s="21">
        <f t="shared" si="6"/>
        <v>5.5258545903782402E-2</v>
      </c>
      <c r="L13" s="22">
        <f t="shared" si="6"/>
        <v>5.0000000000000017E-2</v>
      </c>
      <c r="P13" s="25"/>
      <c r="Q13" s="20"/>
      <c r="R13" s="21">
        <f t="shared" ref="R13:S13" si="7">$M$3*S12+$N$3*S13</f>
        <v>0.73512430305600462</v>
      </c>
      <c r="S13" s="21">
        <f t="shared" si="7"/>
        <v>0.76583569729076739</v>
      </c>
      <c r="T13" s="21">
        <f t="shared" ref="T13" si="8">$M$3*U12+$N$3*U13</f>
        <v>0.79369891181584551</v>
      </c>
      <c r="U13" s="21">
        <f t="shared" si="3"/>
        <v>0.81880205362502056</v>
      </c>
      <c r="V13" s="22">
        <f t="shared" si="0"/>
        <v>0.8412798502719061</v>
      </c>
    </row>
    <row r="14" spans="2:22" x14ac:dyDescent="0.25">
      <c r="B14" s="4"/>
      <c r="C14" s="5"/>
      <c r="D14" s="29"/>
      <c r="E14" s="29"/>
      <c r="F14" s="30">
        <f>$I$3*POWER($K$3,$F$19)*POWER($L$3,B$19)</f>
        <v>7.4591234882063553E-2</v>
      </c>
      <c r="G14" s="21">
        <f t="shared" ref="G14:L14" si="9">$I$3*POWER($K$3,$F$19)*POWER($L$3,C$19)</f>
        <v>6.7492940378800187E-2</v>
      </c>
      <c r="H14" s="21">
        <f t="shared" si="9"/>
        <v>6.1070137908008512E-2</v>
      </c>
      <c r="I14" s="21">
        <f t="shared" si="9"/>
        <v>5.5258545903782395E-2</v>
      </c>
      <c r="J14" s="21">
        <f t="shared" si="9"/>
        <v>5.000000000000001E-2</v>
      </c>
      <c r="K14" s="21">
        <f t="shared" si="9"/>
        <v>4.5241870901797987E-2</v>
      </c>
      <c r="L14" s="22">
        <f t="shared" si="9"/>
        <v>4.0936537653899097E-2</v>
      </c>
      <c r="P14" s="25"/>
      <c r="Q14" s="21">
        <f t="shared" ref="Q14:R15" si="10">$M$3*R13+$N$3*R14</f>
        <v>0.74604792799796882</v>
      </c>
      <c r="R14" s="21">
        <f t="shared" si="10"/>
        <v>0.77572495717207968</v>
      </c>
      <c r="S14" s="21">
        <f t="shared" ref="S14" si="11">$M$3*T13+$N$3*T14</f>
        <v>0.80259184939579753</v>
      </c>
      <c r="T14" s="21">
        <f t="shared" ref="T14" si="12">$M$3*U13+$N$3*U14</f>
        <v>0.82675195827960946</v>
      </c>
      <c r="U14" s="21">
        <f t="shared" si="3"/>
        <v>0.84835005905834304</v>
      </c>
      <c r="V14" s="22">
        <f t="shared" si="0"/>
        <v>0.86755822425413698</v>
      </c>
    </row>
    <row r="15" spans="2:22" ht="15.75" thickBot="1" x14ac:dyDescent="0.3">
      <c r="B15" s="4"/>
      <c r="C15" s="5"/>
      <c r="D15" s="31"/>
      <c r="E15" s="30">
        <f>$I$3*POWER($K$3,$E$19)*POWER($L$3,B$19)</f>
        <v>6.7492940378800173E-2</v>
      </c>
      <c r="F15" s="21">
        <f t="shared" ref="F15:L15" si="13">$I$3*POWER($K$3,$E$19)*POWER($L$3,C$19)</f>
        <v>6.1070137908008505E-2</v>
      </c>
      <c r="G15" s="21">
        <f t="shared" si="13"/>
        <v>5.5258545903782388E-2</v>
      </c>
      <c r="H15" s="21">
        <f t="shared" si="13"/>
        <v>4.9999999999999996E-2</v>
      </c>
      <c r="I15" s="21">
        <f t="shared" si="13"/>
        <v>4.524187090179798E-2</v>
      </c>
      <c r="J15" s="21">
        <f t="shared" si="13"/>
        <v>4.093653765389909E-2</v>
      </c>
      <c r="K15" s="21">
        <f t="shared" si="13"/>
        <v>3.7040911034085883E-2</v>
      </c>
      <c r="L15" s="22">
        <f t="shared" si="13"/>
        <v>3.3516002301781957E-2</v>
      </c>
      <c r="P15" s="51">
        <f>$M$3*Q14+$N$3*Q15</f>
        <v>0.75659664509327751</v>
      </c>
      <c r="Q15" s="21">
        <f t="shared" si="10"/>
        <v>0.78525513407016323</v>
      </c>
      <c r="R15" s="21">
        <f t="shared" ref="R15" si="14">$M$3*S14+$N$3*S15</f>
        <v>0.81114647868712764</v>
      </c>
      <c r="S15" s="21">
        <f t="shared" ref="S15" si="15">$M$3*T14+$N$3*T15</f>
        <v>0.83438748013136566</v>
      </c>
      <c r="T15" s="21">
        <f t="shared" ref="T15" si="16">$M$3*U14+$N$3*U15</f>
        <v>0.85513147362784903</v>
      </c>
      <c r="U15" s="21">
        <f t="shared" si="3"/>
        <v>0.87355504996722333</v>
      </c>
      <c r="V15" s="22">
        <f t="shared" si="0"/>
        <v>0.88984707505823846</v>
      </c>
    </row>
    <row r="16" spans="2:22" ht="15.75" thickBot="1" x14ac:dyDescent="0.3">
      <c r="B16" s="33"/>
      <c r="C16" s="29"/>
      <c r="D16" s="32">
        <f>$I$3*POWER($K$3,$D$19)*POWER($L$3,B$19)</f>
        <v>6.1070137908008505E-2</v>
      </c>
      <c r="E16" s="21">
        <f t="shared" ref="E16:L16" si="17">$I$3*POWER($K$3,$D$19)*POWER($L$3,C$19)</f>
        <v>5.5258545903782388E-2</v>
      </c>
      <c r="F16" s="21">
        <f t="shared" si="17"/>
        <v>0.05</v>
      </c>
      <c r="G16" s="21">
        <f t="shared" si="17"/>
        <v>4.5241870901797973E-2</v>
      </c>
      <c r="H16" s="21">
        <f t="shared" si="17"/>
        <v>4.093653765389909E-2</v>
      </c>
      <c r="I16" s="21">
        <f t="shared" si="17"/>
        <v>3.704091103408589E-2</v>
      </c>
      <c r="J16" s="21">
        <f t="shared" si="17"/>
        <v>3.3516002301781957E-2</v>
      </c>
      <c r="K16" s="21">
        <f t="shared" si="17"/>
        <v>3.0326532985631663E-2</v>
      </c>
      <c r="L16" s="22">
        <f t="shared" si="17"/>
        <v>2.7440581804701311E-2</v>
      </c>
      <c r="P16" s="47">
        <v>0</v>
      </c>
      <c r="Q16" s="48">
        <v>1</v>
      </c>
      <c r="R16" s="48">
        <v>2</v>
      </c>
      <c r="S16" s="48">
        <v>3</v>
      </c>
      <c r="T16" s="48">
        <v>4</v>
      </c>
      <c r="U16" s="48">
        <v>5</v>
      </c>
      <c r="V16" s="49">
        <v>6</v>
      </c>
    </row>
    <row r="17" spans="1:22" ht="15.75" thickBot="1" x14ac:dyDescent="0.3">
      <c r="B17" s="34"/>
      <c r="C17" s="30">
        <f>$I$3*POWER($K$3,C$19)*POWER($L$3,B$19)</f>
        <v>5.5258545903782388E-2</v>
      </c>
      <c r="D17" s="21">
        <f>$I$3*POWER($K$3,$C$19)*POWER($L$3,C$19)</f>
        <v>0.05</v>
      </c>
      <c r="E17" s="21">
        <f t="shared" ref="E17:L17" si="18">$I$3*POWER($K$3,$C$19)*POWER($L$3,D$19)</f>
        <v>4.5241870901797973E-2</v>
      </c>
      <c r="F17" s="21">
        <f t="shared" si="18"/>
        <v>4.093653765389909E-2</v>
      </c>
      <c r="G17" s="21">
        <f t="shared" si="18"/>
        <v>3.704091103408589E-2</v>
      </c>
      <c r="H17" s="21">
        <f t="shared" si="18"/>
        <v>3.3516002301781957E-2</v>
      </c>
      <c r="I17" s="21">
        <f t="shared" si="18"/>
        <v>3.0326532985631659E-2</v>
      </c>
      <c r="J17" s="21">
        <f t="shared" si="18"/>
        <v>2.7440581804701311E-2</v>
      </c>
      <c r="K17" s="21">
        <f t="shared" si="18"/>
        <v>2.4829265189570467E-2</v>
      </c>
      <c r="L17" s="22">
        <f t="shared" si="18"/>
        <v>2.2466448205861071E-2</v>
      </c>
    </row>
    <row r="18" spans="1:22" ht="19.5" thickBot="1" x14ac:dyDescent="0.35">
      <c r="B18" s="35">
        <f>$I$3*POWER($L$3,B$19)</f>
        <v>0.05</v>
      </c>
      <c r="C18" s="21">
        <f>$I$3*POWER($L$3,C$19)</f>
        <v>4.524187090179798E-2</v>
      </c>
      <c r="D18" s="21">
        <f t="shared" ref="D18:L18" si="19">$I$3*POWER($L$3,D$19)</f>
        <v>4.093653765389909E-2</v>
      </c>
      <c r="E18" s="21">
        <f t="shared" si="19"/>
        <v>3.7040911034085883E-2</v>
      </c>
      <c r="F18" s="21">
        <f t="shared" si="19"/>
        <v>3.3516002301781957E-2</v>
      </c>
      <c r="G18" s="21">
        <f t="shared" si="19"/>
        <v>3.0326532985631663E-2</v>
      </c>
      <c r="H18" s="21">
        <f t="shared" si="19"/>
        <v>2.7440581804701311E-2</v>
      </c>
      <c r="I18" s="21">
        <f t="shared" si="19"/>
        <v>2.4829265189570463E-2</v>
      </c>
      <c r="J18" s="21">
        <f t="shared" si="19"/>
        <v>2.2466448205861068E-2</v>
      </c>
      <c r="K18" s="21">
        <f t="shared" si="19"/>
        <v>2.0328482987029946E-2</v>
      </c>
      <c r="L18" s="22">
        <f t="shared" si="19"/>
        <v>1.8393972058572104E-2</v>
      </c>
      <c r="R18" s="97" t="s">
        <v>20</v>
      </c>
      <c r="S18" s="98"/>
      <c r="T18" s="99"/>
    </row>
    <row r="19" spans="1:22" ht="15.75" thickBot="1" x14ac:dyDescent="0.3">
      <c r="B19" s="6">
        <v>0</v>
      </c>
      <c r="C19" s="7">
        <v>1</v>
      </c>
      <c r="D19" s="7">
        <v>2</v>
      </c>
      <c r="E19" s="7">
        <v>3</v>
      </c>
      <c r="F19" s="7">
        <v>4</v>
      </c>
      <c r="G19" s="7">
        <v>5</v>
      </c>
      <c r="H19" s="7">
        <v>6</v>
      </c>
      <c r="I19" s="7">
        <v>7</v>
      </c>
      <c r="J19" s="7">
        <v>8</v>
      </c>
      <c r="K19" s="7">
        <v>9</v>
      </c>
      <c r="L19" s="8">
        <v>10</v>
      </c>
      <c r="P19" s="104" t="s">
        <v>23</v>
      </c>
      <c r="Q19" s="105"/>
      <c r="R19" s="45"/>
      <c r="S19" s="45"/>
      <c r="T19" s="45"/>
      <c r="U19" s="45"/>
      <c r="V19" s="53"/>
    </row>
    <row r="20" spans="1:22" ht="15.75" thickBot="1" x14ac:dyDescent="0.3">
      <c r="P20" s="106"/>
      <c r="Q20" s="107"/>
      <c r="R20" s="19"/>
      <c r="S20" s="20"/>
      <c r="T20" s="20"/>
      <c r="U20" s="20"/>
      <c r="V20" s="22">
        <f>IF($Q$3 = "put",MAX($O$3 - V9,0),MAX(V9 - $O$3,0))</f>
        <v>0</v>
      </c>
    </row>
    <row r="21" spans="1:22" ht="15.75" thickBot="1" x14ac:dyDescent="0.3">
      <c r="E21" s="76" t="s">
        <v>16</v>
      </c>
      <c r="F21" s="77"/>
      <c r="G21" s="77"/>
      <c r="H21" s="78"/>
      <c r="P21" s="106"/>
      <c r="Q21" s="107"/>
      <c r="R21" s="19"/>
      <c r="S21" s="20"/>
      <c r="T21" s="20"/>
      <c r="U21" s="21">
        <f>MAX(($M$3 * V20 + $N$3*V21)/EXP($I$3*$G$3/$F$3),IF($M$3 = "put",MAX($O$3-U10,0),MAX(U10 - $O$3,0)))</f>
        <v>8.4012446948901545E-3</v>
      </c>
      <c r="V21" s="22">
        <f t="shared" ref="V21:V26" si="20">IF($Q$3 = "put",MAX($O$3 - V10,0),MAX(V10 - $O$3,0))</f>
        <v>3.3939160146397973E-2</v>
      </c>
    </row>
    <row r="22" spans="1:22" x14ac:dyDescent="0.25">
      <c r="B22" s="86">
        <v>2</v>
      </c>
      <c r="C22" s="87"/>
      <c r="D22" s="16"/>
      <c r="E22" s="16"/>
      <c r="F22" s="16"/>
      <c r="G22" s="16"/>
      <c r="H22" s="16"/>
      <c r="I22" s="17"/>
      <c r="J22" s="17"/>
      <c r="K22" s="17"/>
      <c r="L22" s="18">
        <v>1</v>
      </c>
      <c r="P22" s="50"/>
      <c r="Q22" s="19"/>
      <c r="R22" s="19"/>
      <c r="S22" s="20"/>
      <c r="T22" s="21">
        <f t="shared" ref="T22:U26" si="21">MAX(($M$3 * U21 + $N$3*U22)/EXP($I$3*$G$3/$F$3),IF($M$3 = "put",MAX($O$3-T11,0),MAX(T11 - $O$3,0)))</f>
        <v>1.677668052283722E-2</v>
      </c>
      <c r="U22" s="21">
        <f t="shared" si="21"/>
        <v>4.4949768175175708E-2</v>
      </c>
      <c r="V22" s="22">
        <f t="shared" si="20"/>
        <v>7.4863110809217037E-2</v>
      </c>
    </row>
    <row r="23" spans="1:22" x14ac:dyDescent="0.25">
      <c r="B23" s="88"/>
      <c r="C23" s="89"/>
      <c r="D23" s="19"/>
      <c r="E23" s="19"/>
      <c r="F23" s="19"/>
      <c r="G23" s="19"/>
      <c r="H23" s="19"/>
      <c r="I23" s="20"/>
      <c r="J23" s="20"/>
      <c r="K23" s="21">
        <f>($M$3*L22+$N$3*L23)/(1+K9)</f>
        <v>0.89048768586942983</v>
      </c>
      <c r="L23" s="22">
        <v>1</v>
      </c>
      <c r="P23" s="50"/>
      <c r="Q23" s="19"/>
      <c r="R23" s="19"/>
      <c r="S23" s="21">
        <f t="shared" ref="S23:T23" si="22">MAX(($M$3 * T22 + $N$3*T23)/EXP($I$3*$G$3/$F$3),IF($M$3 = "put",MAX($O$3-S12,0),MAX(S12 - $O$3,0)))</f>
        <v>2.5040529643694905E-2</v>
      </c>
      <c r="T23" s="21">
        <f t="shared" si="22"/>
        <v>5.5579707603802264E-2</v>
      </c>
      <c r="U23" s="21">
        <f t="shared" si="21"/>
        <v>8.4458859370583061E-2</v>
      </c>
      <c r="V23" s="22">
        <f t="shared" si="20"/>
        <v>0.11052834743119044</v>
      </c>
    </row>
    <row r="24" spans="1:22" x14ac:dyDescent="0.25">
      <c r="B24" s="88"/>
      <c r="C24" s="89"/>
      <c r="D24" s="19"/>
      <c r="E24" s="19"/>
      <c r="F24" s="19"/>
      <c r="G24" s="19"/>
      <c r="H24" s="19"/>
      <c r="I24" s="20"/>
      <c r="J24" s="21">
        <f t="shared" ref="J24:K32" si="23">($M$3*K23+$N$3*K24)/(1+J10)</f>
        <v>0.80568575629141526</v>
      </c>
      <c r="K24" s="21">
        <f t="shared" si="23"/>
        <v>0.90852297042534225</v>
      </c>
      <c r="L24" s="22">
        <v>1</v>
      </c>
      <c r="P24" s="25"/>
      <c r="Q24" s="20"/>
      <c r="R24" s="21">
        <f t="shared" ref="R24:S24" si="24">MAX(($M$3 * S23 + $N$3*S24)/EXP($I$3*$G$3/$F$3),IF($M$3 = "put",MAX($O$3-R13,0),MAX(R13 - $O$3,0)))</f>
        <v>3.5124303056004669E-2</v>
      </c>
      <c r="S24" s="21">
        <f t="shared" si="24"/>
        <v>6.5835697290767436E-2</v>
      </c>
      <c r="T24" s="21">
        <f t="shared" ref="T24" si="25">MAX(($M$3 * U23 + $N$3*U24)/EXP($I$3*$G$3/$F$3),IF($M$3 = "put",MAX($O$3-T13,0),MAX(T13 - $O$3,0)))</f>
        <v>9.3698911815845554E-2</v>
      </c>
      <c r="U24" s="21">
        <f t="shared" si="21"/>
        <v>0.11880205362502061</v>
      </c>
      <c r="V24" s="22">
        <f t="shared" si="20"/>
        <v>0.14127985027190615</v>
      </c>
    </row>
    <row r="25" spans="1:22" x14ac:dyDescent="0.25">
      <c r="A25" s="9"/>
      <c r="B25" s="88"/>
      <c r="C25" s="89"/>
      <c r="D25" s="19"/>
      <c r="E25" s="19"/>
      <c r="F25" s="19"/>
      <c r="G25" s="19"/>
      <c r="H25" s="19"/>
      <c r="I25" s="21">
        <f t="shared" ref="I25:J25" si="26">($M$3*J24+$N$3*J25)/(1+I11)</f>
        <v>0.73950152416754389</v>
      </c>
      <c r="J25" s="21">
        <f t="shared" si="26"/>
        <v>0.83643994080688866</v>
      </c>
      <c r="K25" s="21">
        <f t="shared" si="23"/>
        <v>0.92384209440898724</v>
      </c>
      <c r="L25" s="22">
        <v>1</v>
      </c>
      <c r="P25" s="25"/>
      <c r="Q25" s="21">
        <f t="shared" ref="P25:R26" si="27">MAX(($M$3 * R24 + $N$3*R25)/EXP($I$3*$G$3/$F$3),IF($M$3 = "put",MAX($O$3-Q14,0),MAX(Q14 - $O$3,0)))</f>
        <v>4.6047927997968863E-2</v>
      </c>
      <c r="R25" s="21">
        <f t="shared" si="27"/>
        <v>7.5724957172079721E-2</v>
      </c>
      <c r="S25" s="21">
        <f t="shared" ref="S25" si="28">MAX(($M$3 * T24 + $N$3*T25)/EXP($I$3*$G$3/$F$3),IF($M$3 = "put",MAX($O$3-S14,0),MAX(S14 - $O$3,0)))</f>
        <v>0.10259184939579757</v>
      </c>
      <c r="T25" s="21">
        <f t="shared" ref="T25" si="29">MAX(($M$3 * U24 + $N$3*U25)/EXP($I$3*$G$3/$F$3),IF($M$3 = "put",MAX($O$3-T14,0),MAX(T14 - $O$3,0)))</f>
        <v>0.1267519582796095</v>
      </c>
      <c r="U25" s="21">
        <f t="shared" si="21"/>
        <v>0.14835005905834309</v>
      </c>
      <c r="V25" s="22">
        <f t="shared" si="20"/>
        <v>0.16755822425413702</v>
      </c>
    </row>
    <row r="26" spans="1:22" ht="15.75" thickBot="1" x14ac:dyDescent="0.3">
      <c r="A26" s="9"/>
      <c r="B26" s="14"/>
      <c r="C26" s="12"/>
      <c r="D26" s="19"/>
      <c r="E26" s="19"/>
      <c r="F26" s="20"/>
      <c r="G26" s="20"/>
      <c r="H26" s="21">
        <f t="shared" ref="H26:I26" si="30">($M$3*I25+$N$3*I26)/(1+H12)</f>
        <v>0.68757483087384619</v>
      </c>
      <c r="I26" s="21">
        <f t="shared" si="30"/>
        <v>0.77932846866097283</v>
      </c>
      <c r="J26" s="21">
        <f t="shared" ref="J26" si="31">($M$3*K25+$N$3*K26)/(1+J12)</f>
        <v>0.86295280694806276</v>
      </c>
      <c r="K26" s="21">
        <f t="shared" si="23"/>
        <v>0.93677434498550372</v>
      </c>
      <c r="L26" s="22">
        <v>1</v>
      </c>
      <c r="P26" s="26">
        <f t="shared" si="27"/>
        <v>5.6596645093277553E-2</v>
      </c>
      <c r="Q26" s="23">
        <f t="shared" si="27"/>
        <v>8.5255134070163274E-2</v>
      </c>
      <c r="R26" s="23">
        <f t="shared" ref="R26" si="32">MAX(($M$3 * S25 + $N$3*S26)/EXP($I$3*$G$3/$F$3),IF($M$3 = "put",MAX($O$3-R15,0),MAX(R15 - $O$3,0)))</f>
        <v>0.11114647868712768</v>
      </c>
      <c r="S26" s="23">
        <f t="shared" ref="S26" si="33">MAX(($M$3 * T25 + $N$3*T26)/EXP($I$3*$G$3/$F$3),IF($M$3 = "put",MAX($O$3-S15,0),MAX(S15 - $O$3,0)))</f>
        <v>0.1343874801313657</v>
      </c>
      <c r="T26" s="23">
        <f t="shared" ref="T26" si="34">MAX(($M$3 * U25 + $N$3*U26)/EXP($I$3*$G$3/$F$3),IF($M$3 = "put",MAX($O$3-T15,0),MAX(T15 - $O$3,0)))</f>
        <v>0.15513147362784907</v>
      </c>
      <c r="U26" s="23">
        <f t="shared" si="21"/>
        <v>0.17355504996722337</v>
      </c>
      <c r="V26" s="24">
        <f t="shared" si="20"/>
        <v>0.1898470750582385</v>
      </c>
    </row>
    <row r="27" spans="1:22" ht="15.75" thickBot="1" x14ac:dyDescent="0.3">
      <c r="A27" s="9"/>
      <c r="B27" s="14"/>
      <c r="C27" s="12"/>
      <c r="D27" s="19"/>
      <c r="E27" s="19"/>
      <c r="F27" s="20"/>
      <c r="G27" s="21">
        <f t="shared" ref="G27:I27" si="35">($M$3*H26+$N$3*H27)/(1+G13)</f>
        <v>0.64673489630499004</v>
      </c>
      <c r="H27" s="21">
        <f t="shared" si="35"/>
        <v>0.73393916014639793</v>
      </c>
      <c r="I27" s="21">
        <f t="shared" si="35"/>
        <v>0.81410305902176627</v>
      </c>
      <c r="J27" s="21">
        <f t="shared" ref="J27" si="36">($M$3*K26+$N$3*K27)/(1+J13)</f>
        <v>0.88561198078694814</v>
      </c>
      <c r="K27" s="21">
        <f t="shared" si="23"/>
        <v>0.94763506429937894</v>
      </c>
      <c r="L27" s="22">
        <v>1</v>
      </c>
      <c r="P27" s="54">
        <v>0</v>
      </c>
      <c r="Q27" s="55">
        <v>1</v>
      </c>
      <c r="R27" s="55">
        <v>2</v>
      </c>
      <c r="S27" s="55">
        <v>3</v>
      </c>
      <c r="T27" s="55">
        <v>4</v>
      </c>
      <c r="U27" s="55">
        <v>5</v>
      </c>
      <c r="V27" s="56">
        <v>6</v>
      </c>
    </row>
    <row r="28" spans="1:22" ht="15.75" thickBot="1" x14ac:dyDescent="0.3">
      <c r="A28" s="9"/>
      <c r="B28" s="14"/>
      <c r="C28" s="12"/>
      <c r="D28" s="19"/>
      <c r="E28" s="19"/>
      <c r="F28" s="21">
        <f t="shared" ref="F28:I28" si="37">($M$3*G27+$N$3*G28)/(1+F14)</f>
        <v>0.61464059257099413</v>
      </c>
      <c r="G28" s="21">
        <f t="shared" si="37"/>
        <v>0.69784983112940302</v>
      </c>
      <c r="H28" s="21">
        <f t="shared" si="37"/>
        <v>0.77486311080921699</v>
      </c>
      <c r="I28" s="21">
        <f t="shared" si="37"/>
        <v>0.84413849780308947</v>
      </c>
      <c r="J28" s="21">
        <f t="shared" ref="J28" si="38">($M$3*K27+$N$3*K28)/(1+J14)</f>
        <v>0.90483656347520069</v>
      </c>
      <c r="K28" s="21">
        <f t="shared" si="23"/>
        <v>0.95671636186678499</v>
      </c>
      <c r="L28" s="22">
        <v>1</v>
      </c>
    </row>
    <row r="29" spans="1:22" ht="19.5" thickBot="1" x14ac:dyDescent="0.35">
      <c r="A29" s="9"/>
      <c r="B29" s="15"/>
      <c r="C29" s="13"/>
      <c r="D29" s="20"/>
      <c r="E29" s="21">
        <f t="shared" ref="E29:I29" si="39">($M$3*F28+$N$3*F29)/(1+E15)</f>
        <v>0.58953822243758813</v>
      </c>
      <c r="F29" s="21">
        <f t="shared" si="39"/>
        <v>0.66922997180440003</v>
      </c>
      <c r="G29" s="21">
        <f t="shared" si="39"/>
        <v>0.74338072163985991</v>
      </c>
      <c r="H29" s="21">
        <f t="shared" si="39"/>
        <v>0.8105283474311904</v>
      </c>
      <c r="I29" s="21">
        <f t="shared" si="39"/>
        <v>0.8698447048286434</v>
      </c>
      <c r="J29" s="21">
        <f t="shared" ref="J29" si="40">($M$3*K28+$N$3*K29)/(1+J15)</f>
        <v>0.92104743739014905</v>
      </c>
      <c r="K29" s="21">
        <f t="shared" si="23"/>
        <v>0.96428211207487413</v>
      </c>
      <c r="L29" s="22">
        <v>1</v>
      </c>
      <c r="R29" s="90" t="s">
        <v>24</v>
      </c>
      <c r="S29" s="91"/>
      <c r="T29" s="92"/>
    </row>
    <row r="30" spans="1:22" x14ac:dyDescent="0.25">
      <c r="A30" s="9"/>
      <c r="B30" s="15"/>
      <c r="C30" s="13"/>
      <c r="D30" s="21">
        <f t="shared" ref="D30:I30" si="41">($M$3*E29+$N$3*E30)/(1+D16)</f>
        <v>0.57009585988626699</v>
      </c>
      <c r="E30" s="21">
        <f t="shared" si="41"/>
        <v>0.64667794947861135</v>
      </c>
      <c r="F30" s="21">
        <f t="shared" si="41"/>
        <v>0.71822621027092537</v>
      </c>
      <c r="G30" s="21">
        <f t="shared" si="41"/>
        <v>0.78336132183318197</v>
      </c>
      <c r="H30" s="21">
        <f t="shared" si="41"/>
        <v>0.8412798502719061</v>
      </c>
      <c r="I30" s="21">
        <f t="shared" si="41"/>
        <v>0.89167789390071683</v>
      </c>
      <c r="J30" s="21">
        <f t="shared" ref="J30" si="42">($M$3*K29+$N$3*K30)/(1+J16)</f>
        <v>0.93464718353904874</v>
      </c>
      <c r="K30" s="21">
        <f t="shared" si="23"/>
        <v>0.97056609529626214</v>
      </c>
      <c r="L30" s="22">
        <v>1</v>
      </c>
      <c r="P30" s="93" t="s">
        <v>25</v>
      </c>
      <c r="Q30" s="94"/>
      <c r="R30" s="16"/>
      <c r="S30" s="17"/>
      <c r="T30" s="17"/>
      <c r="U30" s="17"/>
      <c r="V30" s="18">
        <f>IF($Q$3 = "put",MAX($P$3 - V9,0),MAX(V9 - $P$3,0))</f>
        <v>0</v>
      </c>
    </row>
    <row r="31" spans="1:22" x14ac:dyDescent="0.25">
      <c r="A31" s="9"/>
      <c r="B31" s="25"/>
      <c r="C31" s="21">
        <f t="shared" ref="C31:I31" si="43">($M$3*D30+$N$3*D31)/(1+C17)</f>
        <v>0.5552883830795291</v>
      </c>
      <c r="D31" s="21">
        <f t="shared" si="43"/>
        <v>0.62910691453651568</v>
      </c>
      <c r="E31" s="21">
        <f t="shared" si="43"/>
        <v>0.69828280618193539</v>
      </c>
      <c r="F31" s="21">
        <f t="shared" si="43"/>
        <v>0.76152000797420649</v>
      </c>
      <c r="G31" s="21">
        <f t="shared" si="43"/>
        <v>0.81804878672762327</v>
      </c>
      <c r="H31" s="21">
        <f t="shared" si="43"/>
        <v>0.86755822425413698</v>
      </c>
      <c r="I31" s="21">
        <f t="shared" si="43"/>
        <v>0.91010348465910873</v>
      </c>
      <c r="J31" s="21">
        <f t="shared" ref="J31" si="44">($M$3*K30+$N$3*K31)/(1+J17)</f>
        <v>0.94600781972141634</v>
      </c>
      <c r="K31" s="21">
        <f t="shared" si="23"/>
        <v>0.97577229102159013</v>
      </c>
      <c r="L31" s="22">
        <v>1</v>
      </c>
      <c r="P31" s="95"/>
      <c r="Q31" s="96"/>
      <c r="R31" s="19"/>
      <c r="S31" s="20"/>
      <c r="T31" s="20"/>
      <c r="U31" s="21">
        <f>MAX(($M$3 * V30 + $N$3*V31)/EXP($I$3*$G$3/$F$3),IF($M$3 = "put",MAX($P$3-U10,0),MAX(U10 - $P$3,0)))</f>
        <v>0</v>
      </c>
      <c r="V31" s="22">
        <f t="shared" ref="V31:V36" si="45">IF($Q$3 = "put",MAX($P$3 - V10,0),MAX(V10 - $P$3,0))</f>
        <v>0</v>
      </c>
    </row>
    <row r="32" spans="1:22" ht="15.75" thickBot="1" x14ac:dyDescent="0.3">
      <c r="A32" s="9"/>
      <c r="B32" s="26">
        <f t="shared" ref="B32:I32" si="46">($M$3*C31+$N$3*C32)/(1+B18)</f>
        <v>0.54431658552456641</v>
      </c>
      <c r="C32" s="23">
        <f t="shared" si="46"/>
        <v>0.61566379113954484</v>
      </c>
      <c r="D32" s="23">
        <f t="shared" si="46"/>
        <v>0.68266808665613621</v>
      </c>
      <c r="E32" s="23">
        <f t="shared" si="46"/>
        <v>0.74411565105961319</v>
      </c>
      <c r="F32" s="23">
        <f t="shared" si="46"/>
        <v>0.79927636215014852</v>
      </c>
      <c r="G32" s="23">
        <f t="shared" si="46"/>
        <v>0.84784291387301913</v>
      </c>
      <c r="H32" s="23">
        <f>($M$3*I31+$N$3*I32)/(1+H18)</f>
        <v>0.88984707505823846</v>
      </c>
      <c r="I32" s="23">
        <f t="shared" si="46"/>
        <v>0.92557088713407498</v>
      </c>
      <c r="J32" s="23">
        <f t="shared" ref="J32" si="47">($M$3*K31+$N$3*K32)/(1+J18)</f>
        <v>0.95546445605957142</v>
      </c>
      <c r="K32" s="23">
        <f t="shared" si="23"/>
        <v>0.98007653091530089</v>
      </c>
      <c r="L32" s="24">
        <v>1</v>
      </c>
      <c r="P32" s="95"/>
      <c r="Q32" s="96"/>
      <c r="R32" s="19"/>
      <c r="S32" s="20"/>
      <c r="T32" s="21">
        <f t="shared" ref="T32:U36" si="48">MAX(($M$3 * U31 + $N$3*U32)/EXP($I$3*$G$3/$F$3),IF($M$3 = "put",MAX($P$3-T11,0),MAX(T11 - $P$3,0)))</f>
        <v>0</v>
      </c>
      <c r="U32" s="21">
        <f t="shared" si="48"/>
        <v>0</v>
      </c>
      <c r="V32" s="22">
        <f t="shared" si="45"/>
        <v>0</v>
      </c>
    </row>
    <row r="33" spans="2:22" ht="15.75" thickBot="1" x14ac:dyDescent="0.3">
      <c r="P33" s="50"/>
      <c r="Q33" s="19"/>
      <c r="R33" s="19"/>
      <c r="S33" s="21">
        <f t="shared" ref="S33:T33" si="49">MAX(($M$3 * T32 + $N$3*T33)/EXP($I$3*$G$3/$F$3),IF($M$3 = "put",MAX($P$3-S12,0),MAX(S12 - $P$3,0)))</f>
        <v>1.5969371979674475E-4</v>
      </c>
      <c r="T33" s="21">
        <f t="shared" si="49"/>
        <v>6.4512711239707418E-4</v>
      </c>
      <c r="U33" s="21">
        <f t="shared" si="48"/>
        <v>2.6061700590324084E-3</v>
      </c>
      <c r="V33" s="22">
        <f t="shared" si="45"/>
        <v>1.0528347431190355E-2</v>
      </c>
    </row>
    <row r="34" spans="2:22" ht="19.5" customHeight="1" thickBot="1" x14ac:dyDescent="0.45">
      <c r="B34" s="79" t="s">
        <v>17</v>
      </c>
      <c r="C34" s="80"/>
      <c r="D34" s="80"/>
      <c r="E34" s="80"/>
      <c r="F34" s="81"/>
      <c r="G34" s="61">
        <v>3</v>
      </c>
      <c r="H34" s="62"/>
      <c r="I34" s="63"/>
      <c r="J34" s="11"/>
      <c r="P34" s="25"/>
      <c r="Q34" s="20"/>
      <c r="R34" s="21">
        <f t="shared" ref="R34:S34" si="50">MAX(($M$3 * S33 + $N$3*S34)/EXP($I$3*$G$3/$F$3),IF($M$3 = "put",MAX($P$3-R13,0),MAX(R13 - $P$3,0)))</f>
        <v>6.0737406684620526E-4</v>
      </c>
      <c r="S34" s="21">
        <f t="shared" si="50"/>
        <v>2.0198042745228221E-3</v>
      </c>
      <c r="T34" s="21">
        <f t="shared" ref="T34" si="51">MAX(($M$3 * U33 + $N$3*U34)/EXP($I$3*$G$3/$F$3),IF($M$3 = "put",MAX($P$3-T13,0),MAX(T13 - $P$3,0)))</f>
        <v>6.4068949744251523E-3</v>
      </c>
      <c r="U34" s="21">
        <f t="shared" si="48"/>
        <v>1.8802053625020521E-2</v>
      </c>
      <c r="V34" s="22">
        <f t="shared" si="45"/>
        <v>4.127985027190606E-2</v>
      </c>
    </row>
    <row r="35" spans="2:22" ht="15.75" customHeight="1" thickBot="1" x14ac:dyDescent="0.45">
      <c r="B35" s="57"/>
      <c r="C35" s="58"/>
      <c r="D35" s="36"/>
      <c r="E35" s="36"/>
      <c r="F35" s="37">
        <v>1</v>
      </c>
      <c r="G35" s="64"/>
      <c r="H35" s="65"/>
      <c r="I35" s="66"/>
      <c r="J35" s="11"/>
      <c r="M35" s="9"/>
      <c r="N35" s="9"/>
      <c r="P35" s="25"/>
      <c r="Q35" s="21">
        <f t="shared" ref="P35:R36" si="52">MAX(($M$3 * R34 + $N$3*R35)/EXP($I$3*$G$3/$F$3),IF($M$3 = "put",MAX($P$3-Q14,0),MAX(Q14 - $P$3,0)))</f>
        <v>1.414489897183934E-3</v>
      </c>
      <c r="R35" s="21">
        <f t="shared" si="52"/>
        <v>4.0641260342424226E-3</v>
      </c>
      <c r="S35" s="21">
        <f t="shared" ref="S35" si="53">MAX(($M$3 * T34 + $N$3*T35)/EXP($I$3*$G$3/$F$3),IF($M$3 = "put",MAX($P$3-S14,0),MAX(S14 - $P$3,0)))</f>
        <v>1.0930811932127731E-2</v>
      </c>
      <c r="T35" s="21">
        <f t="shared" ref="T35" si="54">MAX(($M$3 * U34 + $N$3*U35)/EXP($I$3*$G$3/$F$3),IF($M$3 = "put",MAX($P$3-T14,0),MAX(T14 - $P$3,0)))</f>
        <v>2.6751958279609411E-2</v>
      </c>
      <c r="U35" s="21">
        <f t="shared" si="48"/>
        <v>4.8350059058342998E-2</v>
      </c>
      <c r="V35" s="22">
        <f t="shared" si="45"/>
        <v>6.7558224254136934E-2</v>
      </c>
    </row>
    <row r="36" spans="2:22" ht="19.5" thickBot="1" x14ac:dyDescent="0.35">
      <c r="B36" s="59"/>
      <c r="C36" s="60"/>
      <c r="D36" s="38"/>
      <c r="E36" s="38">
        <f>($M$3*F35+$N$3*F36)/(1+E15)</f>
        <v>0.93677434498550372</v>
      </c>
      <c r="F36" s="39">
        <v>1</v>
      </c>
      <c r="H36" s="69" t="s">
        <v>18</v>
      </c>
      <c r="I36" s="70"/>
      <c r="P36" s="26">
        <f t="shared" si="52"/>
        <v>2.5998374301140583E-3</v>
      </c>
      <c r="Q36" s="23">
        <f t="shared" si="52"/>
        <v>6.6599144843798534E-3</v>
      </c>
      <c r="R36" s="23">
        <f t="shared" ref="R36" si="55">MAX(($M$3 * S35 + $N$3*S36)/EXP($I$3*$G$3/$F$3),IF($M$3 = "put",MAX($P$3-R15,0),MAX(R15 - $P$3,0)))</f>
        <v>1.5863258093570844E-2</v>
      </c>
      <c r="S36" s="23">
        <f t="shared" ref="S36" si="56">MAX(($M$3 * T35 + $N$3*T36)/EXP($I$3*$G$3/$F$3),IF($M$3 = "put",MAX($P$3-S15,0),MAX(S15 - $P$3,0)))</f>
        <v>3.4387480131365611E-2</v>
      </c>
      <c r="T36" s="23">
        <f t="shared" ref="T36" si="57">MAX(($M$3 * U35 + $N$3*U36)/EXP($I$3*$G$3/$F$3),IF($M$3 = "put",MAX($P$3-T15,0),MAX(T15 - $P$3,0)))</f>
        <v>5.5131473627848981E-2</v>
      </c>
      <c r="U36" s="23">
        <f t="shared" si="48"/>
        <v>7.3555049967223285E-2</v>
      </c>
      <c r="V36" s="24">
        <f t="shared" si="45"/>
        <v>8.9847075058238413E-2</v>
      </c>
    </row>
    <row r="37" spans="2:22" ht="19.5" thickBot="1" x14ac:dyDescent="0.35">
      <c r="B37" s="40"/>
      <c r="C37" s="38"/>
      <c r="D37" s="38">
        <f>($M$3*E36+$N$3*E37)/(1+D16)</f>
        <v>0.88561198078694814</v>
      </c>
      <c r="E37" s="38">
        <f>($M$3*F36+$N$3*F37)/(1+E16)</f>
        <v>0.94763506429937894</v>
      </c>
      <c r="F37" s="39">
        <v>1</v>
      </c>
      <c r="H37" s="67">
        <f>$B$32/$B$39</f>
        <v>0.67155774039201765</v>
      </c>
      <c r="I37" s="68"/>
      <c r="P37" s="54">
        <v>0</v>
      </c>
      <c r="Q37" s="55">
        <v>1</v>
      </c>
      <c r="R37" s="55">
        <v>2</v>
      </c>
      <c r="S37" s="55">
        <v>3</v>
      </c>
      <c r="T37" s="55">
        <v>4</v>
      </c>
      <c r="U37" s="55">
        <v>5</v>
      </c>
      <c r="V37" s="56">
        <v>6</v>
      </c>
    </row>
    <row r="38" spans="2:22" ht="15.75" x14ac:dyDescent="0.25">
      <c r="B38" s="40"/>
      <c r="C38" s="38">
        <f>($M$3*D37+$N$3*D38)/(1+C17)</f>
        <v>0.84413849780308947</v>
      </c>
      <c r="D38" s="38">
        <f>($M$3*E37+$N$3*E38)/(1+D17)</f>
        <v>0.90483656347520069</v>
      </c>
      <c r="E38" s="38">
        <f>($M$3*F37+$N$3*F38)/(1+E17)</f>
        <v>0.95671636186678521</v>
      </c>
      <c r="F38" s="39">
        <v>1</v>
      </c>
    </row>
    <row r="39" spans="2:22" ht="16.5" thickBot="1" x14ac:dyDescent="0.3">
      <c r="B39" s="41">
        <f>($M$3*C38+$N$3*C39)/(1+B18)</f>
        <v>0.8105283474311904</v>
      </c>
      <c r="C39" s="42">
        <f>($M$3*D38+$N$3*D39)/(1+C18)</f>
        <v>0.8698447048286434</v>
      </c>
      <c r="D39" s="42">
        <f>($M$3*E38+$N$3*E39)/(1+D18)</f>
        <v>0.92104743739014927</v>
      </c>
      <c r="E39" s="42">
        <f>($M$3*F38+$N$3*F39)/(1+E18)</f>
        <v>0.96428211207487413</v>
      </c>
      <c r="F39" s="43">
        <v>1</v>
      </c>
    </row>
    <row r="40" spans="2:22" x14ac:dyDescent="0.25">
      <c r="G40" s="10"/>
    </row>
    <row r="41" spans="2:22" x14ac:dyDescent="0.25">
      <c r="G41" s="10"/>
    </row>
    <row r="42" spans="2:22" x14ac:dyDescent="0.25">
      <c r="G42" s="10"/>
    </row>
    <row r="43" spans="2:22" x14ac:dyDescent="0.25">
      <c r="G43" s="10"/>
    </row>
    <row r="44" spans="2:22" x14ac:dyDescent="0.25">
      <c r="G44" s="10"/>
    </row>
    <row r="45" spans="2:22" x14ac:dyDescent="0.25">
      <c r="G45" s="10"/>
    </row>
  </sheetData>
  <mergeCells count="17">
    <mergeCell ref="R29:T29"/>
    <mergeCell ref="P30:Q32"/>
    <mergeCell ref="R7:T7"/>
    <mergeCell ref="P8:Q10"/>
    <mergeCell ref="R18:T18"/>
    <mergeCell ref="P19:Q21"/>
    <mergeCell ref="B35:C36"/>
    <mergeCell ref="G34:I35"/>
    <mergeCell ref="H37:I37"/>
    <mergeCell ref="H36:I36"/>
    <mergeCell ref="B2:C2"/>
    <mergeCell ref="B3:C3"/>
    <mergeCell ref="E7:H7"/>
    <mergeCell ref="E21:H21"/>
    <mergeCell ref="B34:F34"/>
    <mergeCell ref="B8:C11"/>
    <mergeCell ref="B22:C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Виталий Иванов</dc:creator>
  <cp:lastModifiedBy>Виталий Иванов</cp:lastModifiedBy>
  <dcterms:created xsi:type="dcterms:W3CDTF">2015-06-05T18:19:34Z</dcterms:created>
  <dcterms:modified xsi:type="dcterms:W3CDTF">2026-03-27T16:49:56Z</dcterms:modified>
</cp:coreProperties>
</file>